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Area</t>
        </is>
      </c>
      <c r="B1" s="1" t="inlineStr">
        <is>
          <t>Theme</t>
        </is>
      </c>
      <c r="C1" s="1" t="inlineStr">
        <is>
          <t>Objective</t>
        </is>
      </c>
      <c r="D1" s="1" t="inlineStr">
        <is>
          <t>Key Result</t>
        </is>
      </c>
      <c r="E1" s="1" t="inlineStr">
        <is>
          <t>Formula</t>
        </is>
      </c>
      <c r="F1" s="1" t="inlineStr">
        <is>
          <t>Expected</t>
        </is>
      </c>
    </row>
    <row r="2">
      <c r="A2" t="inlineStr">
        <is>
          <t>Social Outcomes</t>
        </is>
      </c>
      <c r="B2" t="inlineStr">
        <is>
          <t>The Spark</t>
        </is>
      </c>
      <c r="C2" t="inlineStr">
        <is>
          <t>Ignite imagination, inclusion, and connection by expanding access to meaningful creative experiences for young people.</t>
        </is>
      </c>
      <c r="D2" t="inlineStr">
        <is>
          <t>KR1: 15% of participants report feelings of joy and wonder after participation.</t>
        </is>
      </c>
      <c r="E2" t="inlineStr">
        <is>
          <t xml:space="preserve">  =(COUNTIFS(Survey[Happy],"&lt;&gt;")+COUNTIFS(Survey[Excited],"&lt;&gt;")+COUNTIFS(Survey[Good inside],"&lt;&gt;"))/(3*ROWS(Survey[Happy]))</t>
        </is>
      </c>
      <c r="F2" t="n">
        <v>0.15</v>
      </c>
    </row>
    <row r="3">
      <c r="A3" t="inlineStr">
        <is>
          <t>Social Outcomes</t>
        </is>
      </c>
      <c r="B3" t="inlineStr">
        <is>
          <t>The Spark</t>
        </is>
      </c>
      <c r="C3" t="inlineStr">
        <is>
          <t>Ignite imagination, inclusion, and connection by expanding access to meaningful creative experiences for young people.</t>
        </is>
      </c>
      <c r="D3" t="inlineStr">
        <is>
          <t>KR2: 15% of participants report creative inspiration after the experience</t>
        </is>
      </c>
      <c r="E3" t="inlineStr">
        <is>
          <t xml:space="preserve"> =COUNTIFS(Survey[Try something new],"&lt;&gt;")/COUNTA(Survey[#])</t>
        </is>
      </c>
      <c r="F3" t="n">
        <v>0.15</v>
      </c>
    </row>
    <row r="4">
      <c r="A4" t="inlineStr">
        <is>
          <t>Social Outcomes</t>
        </is>
      </c>
      <c r="B4" t="inlineStr">
        <is>
          <t>The Spark</t>
        </is>
      </c>
      <c r="C4" t="inlineStr">
        <is>
          <t>Ignite imagination, inclusion, and connection by expanding access to meaningful creative experiences for young people.</t>
        </is>
      </c>
      <c r="D4" t="inlineStr">
        <is>
          <t>KR3: 30% of participants report feeling represented or connected to the story.</t>
        </is>
      </c>
      <c r="E4" t="inlineStr">
        <is>
          <t xml:space="preserve">    =COUNTIFS(Survey[Similar to a character],"&lt;&gt;")/COUNTA(Survey[#])</t>
        </is>
      </c>
      <c r="F4" t="n">
        <v>0.3</v>
      </c>
    </row>
    <row r="5">
      <c r="A5" t="inlineStr">
        <is>
          <t>Social Outcomes</t>
        </is>
      </c>
      <c r="B5" t="inlineStr">
        <is>
          <t>The Spark</t>
        </is>
      </c>
      <c r="C5" t="inlineStr">
        <is>
          <t>Ignite imagination, inclusion, and connection by expanding access to meaningful creative experiences for young people.</t>
        </is>
      </c>
      <c r="D5" t="inlineStr">
        <is>
          <t>KR4: 30% of participants are first-time live theatre attendees</t>
        </is>
      </c>
      <c r="E5" t="inlineStr">
        <is>
          <t xml:space="preserve">  =COUNTIFS(Survey[Was this the young person’s first live theatre experience?],"Yes")/COUNTA(Survey[#])</t>
        </is>
      </c>
      <c r="F5" t="n">
        <v>0.3</v>
      </c>
    </row>
    <row r="6">
      <c r="A6" t="inlineStr">
        <is>
          <t>Social Outcomes</t>
        </is>
      </c>
      <c r="B6" t="inlineStr">
        <is>
          <t>The Growth</t>
        </is>
      </c>
      <c r="C6" t="inlineStr">
        <is>
          <t>Deepen empathy, expression, wellbeing, and stronger community connection among young people.</t>
        </is>
      </c>
      <c r="D6" t="inlineStr">
        <is>
          <t>KR1: 15% of participants report stronger emotional or social connection</t>
        </is>
      </c>
      <c r="E6" t="inlineStr">
        <is>
          <t xml:space="preserve">  =COUNTIFS(Survey[Connected to others],"&lt;&gt;")/COUNTA(Survey[#])</t>
        </is>
      </c>
      <c r="F6" t="n">
        <v>0.15</v>
      </c>
    </row>
    <row r="7">
      <c r="A7" t="inlineStr">
        <is>
          <t>Social Outcomes</t>
        </is>
      </c>
      <c r="B7" t="inlineStr">
        <is>
          <t>The Growth</t>
        </is>
      </c>
      <c r="C7" t="inlineStr">
        <is>
          <t>Deepen empathy, expression, wellbeing, and stronger community connection among young people.</t>
        </is>
      </c>
      <c r="D7" t="inlineStr">
        <is>
          <t>KR2: 15% report stronger social inclusion and community connection.</t>
        </is>
      </c>
      <c r="E7">
        <f>(COUNTIFS(Survey[Connected to others],"&lt;&gt;")+COUNTIFS(Survey[Talked positively after show],"&lt;&gt;"))/(2*ROWS(Survey[Connected to others]))</f>
        <v/>
      </c>
      <c r="F7" t="n">
        <v>0.15</v>
      </c>
    </row>
    <row r="8">
      <c r="A8" t="inlineStr">
        <is>
          <t>Social Outcomes</t>
        </is>
      </c>
      <c r="B8" t="inlineStr">
        <is>
          <t>The Growth</t>
        </is>
      </c>
      <c r="C8" t="inlineStr">
        <is>
          <t>Deepen empathy, expression, wellbeing, and stronger community connection among young people.</t>
        </is>
      </c>
      <c r="D8" t="inlineStr">
        <is>
          <t>KR3: 20% report improved wellbeing and lasting positive memories.</t>
        </is>
      </c>
      <c r="E8" t="inlineStr">
        <is>
          <t xml:space="preserve">  =COUNTIFS(Survey[Good inside],"&lt;&gt;")/COUNTA(Survey[#])</t>
        </is>
      </c>
      <c r="F8" t="n">
        <v>0.2</v>
      </c>
    </row>
    <row r="9">
      <c r="A9" t="inlineStr">
        <is>
          <t>Social Outcomes</t>
        </is>
      </c>
      <c r="B9" t="inlineStr">
        <is>
          <t>The Horizon</t>
        </is>
      </c>
      <c r="C9" t="inlineStr">
        <is>
          <t>Build creative lives and connected communities through equitable cultural access and long-term social impact.</t>
        </is>
      </c>
      <c r="D9" t="inlineStr">
        <is>
          <t>KR1: 10% of participants come from priority or underserved communities</t>
        </is>
      </c>
      <c r="E9" t="inlineStr">
        <is>
          <t xml:space="preserve">  =(COUNTIFS(Survey[From a culturally or linguistically diverse background],"&lt;&gt;")+COUNTIFS(Survey[Person with disability],"&lt;&gt;")+COUNTIFS(Survey[Lives in a regional or remote community],"&lt;&gt;")+COUNTIFS(Survey[Refugee or asylum seeker background],"&lt;&gt;"))/COUNTA(Survey[#])</t>
        </is>
      </c>
      <c r="F9" t="n">
        <v>0.1</v>
      </c>
    </row>
    <row r="10">
      <c r="A10" t="inlineStr">
        <is>
          <t>Social Outcomes</t>
        </is>
      </c>
      <c r="B10" t="inlineStr">
        <is>
          <t>The Horizon</t>
        </is>
      </c>
      <c r="C10" t="inlineStr">
        <is>
          <t>Build creative lives and connected communities through equitable cultural access and long-term social impact.</t>
        </is>
      </c>
      <c r="D10" t="inlineStr">
        <is>
          <t>KR2: 15% of participants demonstrate early signs of creativity, empathy, and life skills</t>
        </is>
      </c>
      <c r="E10">
        <f>COUNTIFS(Survey[Try something new],"&lt;&gt;")+COUNTIFS(Survey[Connected to others],"&lt;&gt;")/2/COUNTA(Survey[#])</f>
        <v/>
      </c>
      <c r="F10" t="n">
        <v>0.15</v>
      </c>
    </row>
    <row r="11">
      <c r="A11" t="inlineStr">
        <is>
          <t>Social Outcomes</t>
        </is>
      </c>
      <c r="B11" t="inlineStr">
        <is>
          <t>The Horizon</t>
        </is>
      </c>
      <c r="C11" t="inlineStr">
        <is>
          <t>Build creative lives and connected communities through equitable cultural access and long-term social impact.</t>
        </is>
      </c>
      <c r="D11" t="inlineStr">
        <is>
          <t>KR3: Achieve an average recommendation score of 8.5</t>
        </is>
      </c>
      <c r="E11" t="inlineStr">
        <is>
          <t xml:space="preserve">  =AVERAGE(Survey[How likely are you to recommend a Monkey Baa show to other parents, carers or teachers? ])</t>
        </is>
      </c>
      <c r="F11" t="n">
        <v>7</v>
      </c>
    </row>
    <row r="12">
      <c r="A12" t="inlineStr">
        <is>
          <t>Cultural Outcomes</t>
        </is>
      </c>
      <c r="B12" t="inlineStr">
        <is>
          <t>The Spark</t>
        </is>
      </c>
      <c r="C12" t="inlineStr">
        <is>
          <t>Help young people see themselves reflected in stories while building curiosity and engagement with theatre.</t>
        </is>
      </c>
      <c r="D12" t="inlineStr">
        <is>
          <t>KR1: 15% of participants report feeling represented and validated through stories.</t>
        </is>
      </c>
      <c r="E12">
        <f>COUNTIFS(Survey[Similar to a character],"&lt;&gt;")/COUNTA(Survey[#])</f>
        <v/>
      </c>
      <c r="F12" t="n">
        <v>0.15</v>
      </c>
    </row>
    <row r="13">
      <c r="A13" t="inlineStr">
        <is>
          <t>Cultural Outcomes</t>
        </is>
      </c>
      <c r="B13" t="inlineStr">
        <is>
          <t>The Spark</t>
        </is>
      </c>
      <c r="C13" t="inlineStr">
        <is>
          <t>Help young people see themselves reflected in stories while building curiosity and engagement with theatre.</t>
        </is>
      </c>
      <c r="D13" t="inlineStr">
        <is>
          <t>KR2: 15% of participants report increased curiosity and interest in theatre.</t>
        </is>
      </c>
      <c r="E13" t="inlineStr">
        <is>
          <t xml:space="preserve"> =COUNTIFS(Survey[Curious],"&lt;&gt;")/COUNTA(Survey[#])</t>
        </is>
      </c>
      <c r="F13" t="n">
        <v>0.15</v>
      </c>
    </row>
    <row r="14">
      <c r="A14" t="inlineStr">
        <is>
          <t>Cultural Outcomes</t>
        </is>
      </c>
      <c r="B14" t="inlineStr">
        <is>
          <t>The Growth</t>
        </is>
      </c>
      <c r="C14" t="inlineStr">
        <is>
          <t>Strengthen cultural literacy, identity, and openness to diverse perspectives.</t>
        </is>
      </c>
      <c r="D14" t="inlineStr">
        <is>
          <t>KR1: 15% of participants demonstrate improved cultural literacy.</t>
        </is>
      </c>
      <c r="E14" t="inlineStr">
        <is>
          <t xml:space="preserve">  =COUNTIFS(Survey[Did you learn something new?],"Yes")/COUNTA(Survey[#])</t>
        </is>
      </c>
      <c r="F14" t="n">
        <v>0.15</v>
      </c>
    </row>
    <row r="15">
      <c r="A15" t="inlineStr">
        <is>
          <t>Cultural Outcomes</t>
        </is>
      </c>
      <c r="B15" t="inlineStr">
        <is>
          <t>The Growth</t>
        </is>
      </c>
      <c r="C15" t="inlineStr">
        <is>
          <t>Strengthen cultural literacy, identity, and openness to diverse perspectives.</t>
        </is>
      </c>
      <c r="D15" t="inlineStr">
        <is>
          <t>KR2: 15% of participants report stronger social connection after participation.</t>
        </is>
      </c>
      <c r="E15">
        <f>COUNTIFS(Survey[Connected to others],"&lt;&gt;")/COUNTA(Survey[#])</f>
        <v/>
      </c>
      <c r="F15" t="n">
        <v>0.15</v>
      </c>
    </row>
    <row r="16">
      <c r="A16" t="inlineStr">
        <is>
          <t>Cultural Outcomes</t>
        </is>
      </c>
      <c r="B16" t="inlineStr">
        <is>
          <t>The Horizon</t>
        </is>
      </c>
      <c r="C16" t="inlineStr">
        <is>
          <t>Cultivate a generation of engaged creative citizens while enriching Australian storytelling.</t>
        </is>
      </c>
      <c r="D16" t="inlineStr">
        <is>
          <t>KR1: Achieve an average recommendation score of 8.5</t>
        </is>
      </c>
      <c r="E16">
        <f>AVERAGE(Survey[How likely are you to recommend a Monkey Baa show to other parents, carers or teachers? ])</f>
        <v/>
      </c>
      <c r="F16" t="n">
        <v>7</v>
      </c>
    </row>
    <row r="17">
      <c r="A17" t="inlineStr">
        <is>
          <t>Cultural Outcomes</t>
        </is>
      </c>
      <c r="B17" t="inlineStr">
        <is>
          <t>The Horizon</t>
        </is>
      </c>
      <c r="C17" t="inlineStr">
        <is>
          <t>Cultivate a generation of engaged creative citizens while enriching Australian storytelling.</t>
        </is>
      </c>
      <c r="D17" t="inlineStr">
        <is>
          <t>KR2: 15% of participants from diverse backgrounds report feeling represented</t>
        </is>
      </c>
      <c r="E17">
        <f>COUNTIFS(Survey[From a culturally or linguistically diverse background],"&lt;&gt;")/COUNTA(Survey[#])</f>
        <v/>
      </c>
      <c r="F1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2026-04-28T01:10:39Z</dcterms:created>
  <dcterms:modified xsi:type="dcterms:W3CDTF">2026-04-28T01:10:39Z</dcterms:modified>
</cp:coreProperties>
</file>