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austu-my.sharepoint.com/personal/elizabeth_sepulveda_student_torrens_edu_au/Documents/PROYECTO MONKEY BAA/FILES/"/>
    </mc:Choice>
  </mc:AlternateContent>
  <xr:revisionPtr revIDLastSave="1" documentId="8_{A053672B-B5F9-4714-845B-F6F9924D7F54}" xr6:coauthVersionLast="47" xr6:coauthVersionMax="47" xr10:uidLastSave="{9FA1C026-91B6-4B8A-B4F8-3E7403872319}"/>
  <bookViews>
    <workbookView xWindow="1140" yWindow="1140" windowWidth="14400" windowHeight="7270" xr2:uid="{8B1E452B-8211-4412-8F58-B80D71E4E634}"/>
  </bookViews>
  <sheets>
    <sheet name="Strategic_Agre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2" i="1"/>
  <c r="M2" i="1" s="1"/>
</calcChain>
</file>

<file path=xl/sharedStrings.xml><?xml version="1.0" encoding="utf-8"?>
<sst xmlns="http://schemas.openxmlformats.org/spreadsheetml/2006/main" count="37" uniqueCount="35">
  <si>
    <t>Planned</t>
  </si>
  <si>
    <t>Educational Performances</t>
  </si>
  <si>
    <t>2027-02-28</t>
  </si>
  <si>
    <t>2025-03-01</t>
  </si>
  <si>
    <t>Singapore</t>
  </si>
  <si>
    <t>International Partnership</t>
  </si>
  <si>
    <t>Singapore Arts Council</t>
  </si>
  <si>
    <t>SA003</t>
  </si>
  <si>
    <t>Active</t>
  </si>
  <si>
    <t>Community Theatre Initiative</t>
  </si>
  <si>
    <t>2025-04-30</t>
  </si>
  <si>
    <t>2024-05-01</t>
  </si>
  <si>
    <t>NSW</t>
  </si>
  <si>
    <t>Cultural Collaboration</t>
  </si>
  <si>
    <t>Sydney Cultural Network</t>
  </si>
  <si>
    <t>SA002</t>
  </si>
  <si>
    <t>Theatre in Schools</t>
  </si>
  <si>
    <t>2026-12-31</t>
  </si>
  <si>
    <t>2024-02-01</t>
  </si>
  <si>
    <t>Educational Partnership</t>
  </si>
  <si>
    <t>NSW Department of Education</t>
  </si>
  <si>
    <t>SA001</t>
  </si>
  <si>
    <t>KR3_Progress</t>
  </si>
  <si>
    <t>Total_Alliances</t>
  </si>
  <si>
    <t>Alliance_Target</t>
  </si>
  <si>
    <t>Status</t>
  </si>
  <si>
    <t>Estimated_Students</t>
  </si>
  <si>
    <t>Schools_Involved</t>
  </si>
  <si>
    <t>Program_Name</t>
  </si>
  <si>
    <t>End_Date</t>
  </si>
  <si>
    <t>Start_Date</t>
  </si>
  <si>
    <t>State</t>
  </si>
  <si>
    <t>Agreement_Type</t>
  </si>
  <si>
    <t>Partner_Organisation</t>
  </si>
  <si>
    <t>Agreement_ID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</si>
</sst>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ABBD-CCF5-49ED-AC34-F7F1972AEE88}">
  <dimension ref="A1:M4"/>
  <sheetViews>
    <sheetView tabSelected="1" topLeftCell="E1" workbookViewId="0">
      <selection activeCell="L6" sqref="L6"/>
    </sheetView>
  </sheetViews>
  <sheetFormatPr defaultRowHeight="14.5" x14ac:dyDescent="0.35"/>
  <cols>
    <col min="1" max="1" width="12.90625" bestFit="1" customWidth="1"/>
    <col min="2" max="2" width="26.6328125" bestFit="1" customWidth="1"/>
    <col min="3" max="3" width="22" bestFit="1" customWidth="1"/>
    <col min="4" max="4" width="9.08984375" bestFit="1" customWidth="1"/>
    <col min="5" max="6" width="10.08984375" bestFit="1" customWidth="1"/>
    <col min="7" max="7" width="25.36328125" bestFit="1" customWidth="1"/>
    <col min="8" max="8" width="15.26953125" bestFit="1" customWidth="1"/>
    <col min="9" max="9" width="17.54296875" bestFit="1" customWidth="1"/>
    <col min="10" max="10" width="7.54296875" bestFit="1" customWidth="1"/>
    <col min="11" max="11" width="13.6328125" bestFit="1" customWidth="1"/>
    <col min="12" max="12" width="13.36328125" bestFit="1" customWidth="1"/>
    <col min="13" max="13" width="12" bestFit="1" customWidth="1"/>
  </cols>
  <sheetData>
    <row r="1" spans="1:13" x14ac:dyDescent="0.35">
      <c r="A1" t="s">
        <v>34</v>
      </c>
      <c r="B1" t="s">
        <v>33</v>
      </c>
      <c r="C1" t="s">
        <v>32</v>
      </c>
      <c r="D1" t="s">
        <v>31</v>
      </c>
      <c r="E1" t="s">
        <v>30</v>
      </c>
      <c r="F1" t="s">
        <v>29</v>
      </c>
      <c r="G1" t="s">
        <v>28</v>
      </c>
      <c r="H1" t="s">
        <v>27</v>
      </c>
      <c r="I1" t="s">
        <v>26</v>
      </c>
      <c r="J1" t="s">
        <v>25</v>
      </c>
      <c r="K1" t="s">
        <v>24</v>
      </c>
      <c r="L1" t="s">
        <v>23</v>
      </c>
      <c r="M1" t="s">
        <v>22</v>
      </c>
    </row>
    <row r="2" spans="1:13" x14ac:dyDescent="0.35">
      <c r="A2" t="s">
        <v>21</v>
      </c>
      <c r="B2" t="s">
        <v>20</v>
      </c>
      <c r="C2" t="s">
        <v>19</v>
      </c>
      <c r="D2" t="s">
        <v>12</v>
      </c>
      <c r="E2" t="s">
        <v>18</v>
      </c>
      <c r="F2" t="s">
        <v>17</v>
      </c>
      <c r="G2" t="s">
        <v>16</v>
      </c>
      <c r="H2">
        <v>25</v>
      </c>
      <c r="I2">
        <v>4500</v>
      </c>
      <c r="J2" t="s">
        <v>8</v>
      </c>
      <c r="K2">
        <v>10</v>
      </c>
      <c r="L2">
        <f>COUNTA(A2:A100)</f>
        <v>3</v>
      </c>
      <c r="M2">
        <f>L2/K2</f>
        <v>0.3</v>
      </c>
    </row>
    <row r="3" spans="1:13" x14ac:dyDescent="0.35">
      <c r="A3" t="s">
        <v>15</v>
      </c>
      <c r="B3" t="s">
        <v>14</v>
      </c>
      <c r="C3" t="s">
        <v>13</v>
      </c>
      <c r="D3" t="s">
        <v>12</v>
      </c>
      <c r="E3" t="s">
        <v>11</v>
      </c>
      <c r="F3" t="s">
        <v>10</v>
      </c>
      <c r="G3" t="s">
        <v>9</v>
      </c>
      <c r="H3">
        <v>10</v>
      </c>
      <c r="I3">
        <v>1200</v>
      </c>
      <c r="J3" t="s">
        <v>8</v>
      </c>
      <c r="K3">
        <v>11</v>
      </c>
      <c r="L3">
        <f t="shared" ref="L3:L4" si="0">COUNTA(A3:A101)</f>
        <v>2</v>
      </c>
      <c r="M3">
        <f t="shared" ref="M3:M4" si="1">L3/K3</f>
        <v>0.18181818181818182</v>
      </c>
    </row>
    <row r="4" spans="1:13" x14ac:dyDescent="0.35">
      <c r="A4" t="s">
        <v>7</v>
      </c>
      <c r="B4" t="s">
        <v>6</v>
      </c>
      <c r="C4" t="s">
        <v>5</v>
      </c>
      <c r="D4" t="s">
        <v>4</v>
      </c>
      <c r="E4" t="s">
        <v>3</v>
      </c>
      <c r="F4" t="s">
        <v>2</v>
      </c>
      <c r="G4" t="s">
        <v>1</v>
      </c>
      <c r="H4">
        <v>8</v>
      </c>
      <c r="I4">
        <v>2000</v>
      </c>
      <c r="J4" t="s">
        <v>0</v>
      </c>
      <c r="K4">
        <v>12</v>
      </c>
      <c r="L4">
        <f t="shared" si="0"/>
        <v>1</v>
      </c>
      <c r="M4">
        <f t="shared" si="1"/>
        <v>8.3333333333333329E-2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Strategic_Agreements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Roxana Sepulveda Cardenas</dc:creator>
  <cp:lastModifiedBy>Elizabeth Roxana Sepulveda Cardenas</cp:lastModifiedBy>
  <dcterms:created xsi:type="dcterms:W3CDTF">2026-04-20T09:36:46Z</dcterms:created>
  <dcterms:modified xsi:type="dcterms:W3CDTF">2026-04-20T10:07:10Z</dcterms:modified>
</cp:coreProperties>
</file>