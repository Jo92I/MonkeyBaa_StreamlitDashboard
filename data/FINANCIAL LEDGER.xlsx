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austu-my.sharepoint.com/personal/elizabeth_sepulveda_student_torrens_edu_au/Documents/PROYECTO MONKEY BAA/FILES/"/>
    </mc:Choice>
  </mc:AlternateContent>
  <xr:revisionPtr revIDLastSave="9" documentId="8_{690A76D6-8CFD-4C3F-828B-6A43BF39EC52}" xr6:coauthVersionLast="47" xr6:coauthVersionMax="47" xr10:uidLastSave="{2F0E291A-FAFD-4858-AC6B-FF5B1A4EFE71}"/>
  <bookViews>
    <workbookView xWindow="9510" yWindow="0" windowWidth="9780" windowHeight="10170" xr2:uid="{00000000-000D-0000-FFFF-FFFF00000000}"/>
  </bookViews>
  <sheets>
    <sheet name="Financial_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2" i="1"/>
  <c r="L3" i="1"/>
  <c r="L4" i="1" s="1"/>
  <c r="M2" i="1"/>
  <c r="M3" i="1" s="1"/>
  <c r="M4" i="1" s="1"/>
</calcChain>
</file>

<file path=xl/sharedStrings.xml><?xml version="1.0" encoding="utf-8"?>
<sst xmlns="http://schemas.openxmlformats.org/spreadsheetml/2006/main" count="40" uniqueCount="38">
  <si>
    <t>Grant_ID</t>
  </si>
  <si>
    <t>Grant_Name</t>
  </si>
  <si>
    <t>Funding_Organisation</t>
  </si>
  <si>
    <t>Grant_Type</t>
  </si>
  <si>
    <t>Amount_AUD</t>
  </si>
  <si>
    <t>Date_Approved</t>
  </si>
  <si>
    <t>Start_Date</t>
  </si>
  <si>
    <t>End_Date</t>
  </si>
  <si>
    <t>Purpose</t>
  </si>
  <si>
    <t>Status</t>
  </si>
  <si>
    <t>Production_Budget_Target</t>
  </si>
  <si>
    <t>Total_Funding_Secured</t>
  </si>
  <si>
    <t>GR001</t>
  </si>
  <si>
    <t>Arts Education Grant</t>
  </si>
  <si>
    <t>Australia Council</t>
  </si>
  <si>
    <t>Government</t>
  </si>
  <si>
    <t>2024-03-15</t>
  </si>
  <si>
    <t>2024-04-01</t>
  </si>
  <si>
    <t>2025-03-31</t>
  </si>
  <si>
    <t>School programs</t>
  </si>
  <si>
    <t>Active</t>
  </si>
  <si>
    <t>GR002</t>
  </si>
  <si>
    <t>Community Culture Fund</t>
  </si>
  <si>
    <t>NSW Government</t>
  </si>
  <si>
    <t>2024-05-20</t>
  </si>
  <si>
    <t>2024-06-01</t>
  </si>
  <si>
    <t>2025-05-31</t>
  </si>
  <si>
    <t>Community workshops</t>
  </si>
  <si>
    <t>GR003</t>
  </si>
  <si>
    <t>Education Partnership</t>
  </si>
  <si>
    <t>Private Foundation</t>
  </si>
  <si>
    <t>Philanthropic</t>
  </si>
  <si>
    <t>2024-01-10</t>
  </si>
  <si>
    <t>2024-02-01</t>
  </si>
  <si>
    <t>2024-12-31</t>
  </si>
  <si>
    <t>Student engagement</t>
  </si>
  <si>
    <t>Completed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</si>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</sst>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topLeftCell="J1" workbookViewId="0">
      <selection activeCell="N1" sqref="N1"/>
    </sheetView>
  </sheetViews>
  <sheetFormatPr defaultRowHeight="14.5" x14ac:dyDescent="0.35"/>
  <cols>
    <col min="1" max="1" width="8.36328125" bestFit="1" customWidth="1"/>
    <col min="2" max="2" width="21.90625" bestFit="1" customWidth="1"/>
    <col min="3" max="3" width="19.26953125" bestFit="1" customWidth="1"/>
    <col min="4" max="4" width="11.81640625" bestFit="1" customWidth="1"/>
    <col min="5" max="5" width="12.26953125" bestFit="1" customWidth="1"/>
    <col min="6" max="6" width="14" bestFit="1" customWidth="1"/>
    <col min="7" max="8" width="10.08984375" bestFit="1" customWidth="1"/>
    <col min="9" max="9" width="20.1796875" bestFit="1" customWidth="1"/>
    <col min="10" max="10" width="9.90625" bestFit="1" customWidth="1"/>
    <col min="12" max="12" width="23.26953125" bestFit="1" customWidth="1"/>
    <col min="13" max="13" width="20.4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  <c r="M1" t="s">
        <v>11</v>
      </c>
      <c r="N1" t="s">
        <v>37</v>
      </c>
    </row>
    <row r="2" spans="1:14" x14ac:dyDescent="0.35">
      <c r="A2" t="s">
        <v>12</v>
      </c>
      <c r="B2" t="s">
        <v>13</v>
      </c>
      <c r="C2" t="s">
        <v>14</v>
      </c>
      <c r="D2" t="s">
        <v>15</v>
      </c>
      <c r="E2">
        <v>120000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L2">
        <v>250000</v>
      </c>
      <c r="M2">
        <f>SUM(E2:E100)</f>
        <v>245000</v>
      </c>
      <c r="N2">
        <f>M2/L2</f>
        <v>0.98</v>
      </c>
    </row>
    <row r="3" spans="1:14" x14ac:dyDescent="0.35">
      <c r="A3" t="s">
        <v>21</v>
      </c>
      <c r="B3" t="s">
        <v>22</v>
      </c>
      <c r="C3" t="s">
        <v>23</v>
      </c>
      <c r="D3" t="s">
        <v>15</v>
      </c>
      <c r="E3">
        <v>75000</v>
      </c>
      <c r="F3" t="s">
        <v>24</v>
      </c>
      <c r="G3" t="s">
        <v>25</v>
      </c>
      <c r="H3" t="s">
        <v>26</v>
      </c>
      <c r="I3" t="s">
        <v>27</v>
      </c>
      <c r="J3" t="s">
        <v>20</v>
      </c>
      <c r="L3">
        <f>L2*1.1</f>
        <v>275000</v>
      </c>
      <c r="M3">
        <f>M2*1.1</f>
        <v>269500</v>
      </c>
      <c r="N3">
        <f t="shared" ref="N3:N4" si="0">M3/L3</f>
        <v>0.98</v>
      </c>
    </row>
    <row r="4" spans="1:14" x14ac:dyDescent="0.35">
      <c r="A4" t="s">
        <v>28</v>
      </c>
      <c r="B4" t="s">
        <v>29</v>
      </c>
      <c r="C4" t="s">
        <v>30</v>
      </c>
      <c r="D4" t="s">
        <v>31</v>
      </c>
      <c r="E4">
        <v>50000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L4">
        <f>L3*1.1</f>
        <v>302500</v>
      </c>
      <c r="M4">
        <f>M3*1.1</f>
        <v>296450</v>
      </c>
      <c r="N4">
        <f t="shared" si="0"/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Elizabeth Roxana Sepulveda Cardenas</cp:lastModifiedBy>
  <dcterms:created xsi:type="dcterms:W3CDTF">2026-04-20T01:49:44Z</dcterms:created>
  <dcterms:modified xsi:type="dcterms:W3CDTF">2026-04-20T10:03:43Z</dcterms:modified>
</cp:coreProperties>
</file>